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ild Costs" sheetId="2" state="visible" r:id="rId2"/>
    <sheet xmlns:r="http://schemas.openxmlformats.org/officeDocument/2006/relationships" name="Running Costs" sheetId="3" state="visible" r:id="rId3"/>
    <sheet xmlns:r="http://schemas.openxmlformats.org/officeDocument/2006/relationships" name="Marketing" sheetId="4" state="visible" r:id="rId4"/>
    <sheet xmlns:r="http://schemas.openxmlformats.org/officeDocument/2006/relationships" name="Break-Ev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£&quot;#,##0"/>
    <numFmt numFmtId="165" formatCode="&quot;£&quot;#,##0.00"/>
    <numFmt numFmtId="166" formatCode="0&quot; month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000000"/>
      <sz val="11"/>
    </font>
    <font>
      <name val="Calibri"/>
      <b val="1"/>
      <color rgb="00FFFFFF"/>
      <sz val="14"/>
    </font>
    <font>
      <name val="Calibri"/>
      <b val="1"/>
      <color rgb="00C00000"/>
      <sz val="11"/>
    </font>
    <font>
      <name val="Calibri"/>
      <b val="1"/>
      <color rgb="00FFFFFF"/>
      <sz val="13"/>
    </font>
    <font>
      <name val="Calibri"/>
      <b val="1"/>
      <color rgb="00FFF2CC"/>
      <sz val="11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1F5C8B"/>
      </patternFill>
    </fill>
    <fill>
      <patternFill patternType="solid">
        <fgColor rgb="001A5276"/>
      </patternFill>
    </fill>
    <fill>
      <patternFill patternType="solid">
        <fgColor rgb="001543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2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/>
    </xf>
    <xf numFmtId="164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5" borderId="1" applyAlignment="1" pivotButton="0" quotePrefix="0" xfId="0">
      <alignment horizontal="left" vertical="center"/>
    </xf>
    <xf numFmtId="164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5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8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164" fontId="8" fillId="9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/>
    </xf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5" fillId="0" borderId="0" pivotButton="0" quotePrefix="0" xfId="0"/>
    <xf numFmtId="164" fontId="10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8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164" fontId="8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center" vertical="center"/>
    </xf>
    <xf numFmtId="164" fontId="11" fillId="2" borderId="1" applyAlignment="1" pivotButton="0" quotePrefix="0" xfId="0">
      <alignment horizontal="center" vertical="center"/>
    </xf>
    <xf numFmtId="0" fontId="10" fillId="0" borderId="0" pivotButton="0" quotePrefix="0" xfId="0"/>
    <xf numFmtId="165" fontId="8" fillId="8" borderId="1" applyAlignment="1" pivotButton="0" quotePrefix="0" xfId="0">
      <alignment horizontal="center" vertical="center"/>
    </xf>
    <xf numFmtId="165" fontId="8" fillId="9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8" fillId="8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5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9" fontId="5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1" fontId="8" fillId="8" borderId="1" applyAlignment="1" pivotButton="0" quotePrefix="0" xfId="0">
      <alignment horizontal="center" vertical="center"/>
    </xf>
    <xf numFmtId="1" fontId="5" fillId="8" borderId="1" applyAlignment="1" pivotButton="0" quotePrefix="0" xfId="0">
      <alignment horizontal="center" vertical="center"/>
    </xf>
    <xf numFmtId="1" fontId="8" fillId="9" borderId="1" applyAlignment="1" pivotButton="0" quotePrefix="0" xfId="0">
      <alignment horizontal="center" vertical="center"/>
    </xf>
    <xf numFmtId="1" fontId="5" fillId="9" borderId="1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6" fontId="8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0" customHeight="1">
      <c r="A1" s="1" t="inlineStr">
        <is>
          <t>ArchiAI Platform — Financial Cost Model</t>
        </is>
      </c>
      <c r="B1" s="2" t="n"/>
      <c r="C1" s="2" t="n"/>
      <c r="D1" s="2" t="n"/>
      <c r="E1" s="2" t="n"/>
    </row>
    <row r="2" ht="25" customHeight="1">
      <c r="A2" s="3" t="inlineStr">
        <is>
          <t>Build Costs · Running Costs · Marketing · Break-Even Analysis</t>
        </is>
      </c>
      <c r="B2" s="4" t="n"/>
      <c r="C2" s="4" t="n"/>
      <c r="D2" s="4" t="n"/>
      <c r="E2" s="4" t="n"/>
    </row>
    <row r="4" ht="22" customHeight="1">
      <c r="A4" s="5" t="inlineStr">
        <is>
          <t>KEY METRICS AT A GLANCE</t>
        </is>
      </c>
      <c r="B4" s="2" t="n"/>
      <c r="C4" s="2" t="n"/>
      <c r="D4" s="2" t="n"/>
      <c r="E4" s="2" t="n"/>
    </row>
    <row r="5">
      <c r="A5" s="6" t="inlineStr">
        <is>
          <t>Metric</t>
        </is>
      </c>
      <c r="B5" s="6" t="inlineStr">
        <is>
          <t>Value</t>
        </is>
      </c>
      <c r="C5" s="6" t="inlineStr">
        <is>
          <t>Notes</t>
        </is>
      </c>
      <c r="D5" s="6" t="inlineStr"/>
      <c r="E5" s="6" t="inlineStr"/>
    </row>
    <row r="6" ht="20" customHeight="1">
      <c r="A6" s="7" t="inlineStr">
        <is>
          <t>Total Build Cost (4 areas)</t>
        </is>
      </c>
      <c r="B6" s="8">
        <f>'Build Costs'!B28</f>
        <v/>
      </c>
      <c r="C6" s="9" t="inlineStr">
        <is>
          <t>Developer + API setup costs</t>
        </is>
      </c>
      <c r="D6" s="10" t="n"/>
      <c r="E6" s="10" t="n"/>
    </row>
    <row r="7" ht="20" customHeight="1">
      <c r="A7" s="11" t="inlineStr">
        <is>
          <t>Monthly Running Cost (100 users)</t>
        </is>
      </c>
      <c r="B7" s="12">
        <f>'Running Costs'!B24</f>
        <v/>
      </c>
      <c r="C7" s="13" t="inlineStr">
        <is>
          <t>APIs + infra at scale</t>
        </is>
      </c>
      <c r="D7" s="14" t="n"/>
      <c r="E7" s="14" t="n"/>
    </row>
    <row r="8" ht="20" customHeight="1">
      <c r="A8" s="15" t="inlineStr">
        <is>
          <t>Month 1 Marketing Spend</t>
        </is>
      </c>
      <c r="B8" s="16">
        <f>'Marketing'!B20</f>
        <v/>
      </c>
      <c r="C8" s="17" t="inlineStr">
        <is>
          <t>Launch campaign budget</t>
        </is>
      </c>
      <c r="D8" s="18" t="n"/>
      <c r="E8" s="18" t="n"/>
    </row>
    <row r="9" ht="20" customHeight="1">
      <c r="A9" s="19" t="inlineStr">
        <is>
          <t>Break-Even Month</t>
        </is>
      </c>
      <c r="B9" s="20">
        <f>'Break-Even'!B16</f>
        <v/>
      </c>
      <c r="C9" s="21" t="inlineStr">
        <is>
          <t>Month when cumulative profit &gt; 0</t>
        </is>
      </c>
      <c r="D9" s="22" t="n"/>
      <c r="E9" s="22" t="n"/>
    </row>
    <row r="10" ht="20" customHeight="1">
      <c r="A10" s="7" t="inlineStr">
        <is>
          <t>Revenue Needed (Monthly)</t>
        </is>
      </c>
      <c r="B10" s="8">
        <f>'Break-Even'!B17</f>
        <v/>
      </c>
      <c r="C10" s="9" t="inlineStr">
        <is>
          <t>MRR to cover all costs</t>
        </is>
      </c>
      <c r="D10" s="10" t="n"/>
      <c r="E10" s="10" t="n"/>
    </row>
    <row r="11" ht="20" customHeight="1">
      <c r="A11" s="11" t="inlineStr">
        <is>
          <t>Projected Month 12 Revenue</t>
        </is>
      </c>
      <c r="B11" s="12">
        <f>'Break-Even'!M5</f>
        <v/>
      </c>
      <c r="C11" s="13" t="inlineStr">
        <is>
          <t>12-month revenue projection</t>
        </is>
      </c>
      <c r="D11" s="14" t="n"/>
      <c r="E11" s="14" t="n"/>
    </row>
    <row r="13" ht="22" customHeight="1">
      <c r="A13" s="5" t="inlineStr">
        <is>
          <t>COST BREAKDOWN BY CATEGORY</t>
        </is>
      </c>
      <c r="B13" s="2" t="n"/>
      <c r="C13" s="2" t="n"/>
      <c r="D13" s="2" t="n"/>
      <c r="E13" s="2" t="n"/>
    </row>
    <row r="14">
      <c r="A14" s="6" t="inlineStr">
        <is>
          <t>Category</t>
        </is>
      </c>
      <c r="B14" s="6" t="inlineStr">
        <is>
          <t>One-Time Cost</t>
        </is>
      </c>
      <c r="C14" s="6" t="inlineStr">
        <is>
          <t>Monthly Cost</t>
        </is>
      </c>
      <c r="D14" s="6" t="inlineStr">
        <is>
          <t>3-Month Total</t>
        </is>
      </c>
      <c r="E14" s="6" t="inlineStr">
        <is>
          <t>Notes</t>
        </is>
      </c>
    </row>
    <row r="15" ht="20" customHeight="1">
      <c r="A15" s="23" t="inlineStr">
        <is>
          <t>Build: Auth &amp; Payments (Area 11)</t>
        </is>
      </c>
      <c r="B15" s="24">
        <f>'Build Costs'!B9</f>
        <v/>
      </c>
      <c r="C15" s="24">
        <f>'Running Costs'!B7</f>
        <v/>
      </c>
      <c r="D15" s="25">
        <f>B15+(C15*3)</f>
        <v/>
      </c>
      <c r="E15" s="23" t="inlineStr">
        <is>
          <t>Clerk + Supabase + Stripe</t>
        </is>
      </c>
    </row>
    <row r="16" ht="20" customHeight="1">
      <c r="A16" s="26" t="inlineStr">
        <is>
          <t>Build: LoRA Style Training (Area 7)</t>
        </is>
      </c>
      <c r="B16" s="27">
        <f>'Build Costs'!B14</f>
        <v/>
      </c>
      <c r="C16" s="27">
        <f>'Running Costs'!B10</f>
        <v/>
      </c>
      <c r="D16" s="25">
        <f>B16+(C16*3)</f>
        <v/>
      </c>
      <c r="E16" s="26" t="inlineStr">
        <is>
          <t>Replicate API integration</t>
        </is>
      </c>
    </row>
    <row r="17" ht="20" customHeight="1">
      <c r="A17" s="23" t="inlineStr">
        <is>
          <t>Build: Blender Docker (Area 6)</t>
        </is>
      </c>
      <c r="B17" s="24">
        <f>'Build Costs'!B19</f>
        <v/>
      </c>
      <c r="C17" s="24">
        <f>'Running Costs'!B13</f>
        <v/>
      </c>
      <c r="D17" s="25">
        <f>B17+(C17*3)</f>
        <v/>
      </c>
      <c r="E17" s="23" t="inlineStr">
        <is>
          <t>Modal.com GPU renders</t>
        </is>
      </c>
    </row>
    <row r="18" ht="20" customHeight="1">
      <c r="A18" s="26" t="inlineStr">
        <is>
          <t>Build: ControlNet (Area 8)</t>
        </is>
      </c>
      <c r="B18" s="27">
        <f>'Build Costs'!B24</f>
        <v/>
      </c>
      <c r="C18" s="27">
        <f>'Running Costs'!B16</f>
        <v/>
      </c>
      <c r="D18" s="25">
        <f>B18+(C18*3)</f>
        <v/>
      </c>
      <c r="E18" s="26" t="inlineStr">
        <is>
          <t>ComfyUI + SDXL pipeline</t>
        </is>
      </c>
    </row>
    <row r="19" ht="20" customHeight="1">
      <c r="A19" s="23" t="inlineStr">
        <is>
          <t>Marketing (3 months)</t>
        </is>
      </c>
      <c r="B19" s="24">
        <f>0</f>
        <v/>
      </c>
      <c r="C19" s="24">
        <f>'Marketing'!B20</f>
        <v/>
      </c>
      <c r="D19" s="25">
        <f>B19+(C19*3)</f>
        <v/>
      </c>
      <c r="E19" s="23" t="inlineStr">
        <is>
          <t>Ads + content + outreach</t>
        </is>
      </c>
    </row>
    <row r="20" ht="22" customHeight="1">
      <c r="A20" s="28" t="inlineStr">
        <is>
          <t>GRAND TOTAL (3 Months)</t>
        </is>
      </c>
      <c r="B20" s="29">
        <f>SUM(B15:B19)</f>
        <v/>
      </c>
      <c r="C20" s="29">
        <f>SUM(C15:C19)</f>
        <v/>
      </c>
      <c r="D20" s="29">
        <f>SUM(D15:D19)</f>
        <v/>
      </c>
      <c r="E20" s="30" t="inlineStr">
        <is>
          <t>All inclusive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 ht="36" customHeight="1">
      <c r="A1" s="31" t="inlineStr">
        <is>
          <t>Build Costs — 4 Remaining Pipeline Areas</t>
        </is>
      </c>
      <c r="B1" s="2" t="n"/>
      <c r="C1" s="2" t="n"/>
      <c r="D1" s="2" t="n"/>
      <c r="E1" s="2" t="n"/>
    </row>
    <row r="2" ht="18" customHeight="1">
      <c r="A2" s="32" t="inlineStr">
        <is>
          <t>Rate Assumption:</t>
        </is>
      </c>
      <c r="B2" s="33" t="n">
        <v>45</v>
      </c>
      <c r="C2" s="34" t="inlineStr">
        <is>
          <t>£/hour (freelance dev rate)</t>
        </is>
      </c>
    </row>
    <row r="4" ht="22" customHeight="1">
      <c r="A4" s="35" t="inlineStr">
        <is>
          <t>Area 11: Auth &amp; Payments (Clerk + Supabase + Stripe)</t>
        </is>
      </c>
      <c r="B4" s="36" t="n"/>
      <c r="C4" s="36" t="n"/>
      <c r="D4" s="36" t="n"/>
      <c r="E4" s="36" t="n"/>
    </row>
    <row r="5">
      <c r="A5" s="6" t="inlineStr">
        <is>
          <t>Task</t>
        </is>
      </c>
      <c r="B5" s="6" t="inlineStr">
        <is>
          <t>Days</t>
        </is>
      </c>
      <c r="C5" s="6" t="inlineStr">
        <is>
          <t>Hours</t>
        </is>
      </c>
      <c r="D5" s="6" t="inlineStr">
        <is>
          <t>Cost (£)</t>
        </is>
      </c>
      <c r="E5" s="6" t="inlineStr">
        <is>
          <t>Notes</t>
        </is>
      </c>
    </row>
    <row r="6" ht="18" customHeight="1">
      <c r="A6" s="37" t="inlineStr">
        <is>
          <t>Clerk auth integration (sign-up, login, JWT)</t>
        </is>
      </c>
      <c r="B6" s="38" t="n">
        <v>3</v>
      </c>
      <c r="C6" s="38">
        <f>B6*8</f>
        <v/>
      </c>
      <c r="D6" s="39">
        <f>C6*$B$2</f>
        <v/>
      </c>
      <c r="E6" s="37" t="inlineStr">
        <is>
          <t>Clerk SDK, JWT middleware</t>
        </is>
      </c>
    </row>
    <row r="7" ht="18" customHeight="1">
      <c r="A7" s="26" t="inlineStr">
        <is>
          <t>Supabase schema design + row-level security</t>
        </is>
      </c>
      <c r="B7" s="40" t="n">
        <v>2</v>
      </c>
      <c r="C7" s="40">
        <f>B7*8</f>
        <v/>
      </c>
      <c r="D7" s="41">
        <f>C7*$B$2</f>
        <v/>
      </c>
      <c r="E7" s="26" t="inlineStr">
        <is>
          <t>Users, designs, subscriptions tables</t>
        </is>
      </c>
    </row>
    <row r="8" ht="18" customHeight="1">
      <c r="A8" s="37" t="inlineStr">
        <is>
          <t>Stripe subscription tiers (Free / Pro / Studio)</t>
        </is>
      </c>
      <c r="B8" s="38" t="n">
        <v>3</v>
      </c>
      <c r="C8" s="38">
        <f>B8*8</f>
        <v/>
      </c>
      <c r="D8" s="39">
        <f>C8*$B$2</f>
        <v/>
      </c>
      <c r="E8" s="37" t="inlineStr">
        <is>
          <t>Webhook handling, trial periods</t>
        </is>
      </c>
    </row>
    <row r="9" ht="18" customHeight="1">
      <c r="A9" s="26" t="inlineStr">
        <is>
          <t>Billing portal + invoice page (React)</t>
        </is>
      </c>
      <c r="B9" s="40" t="n">
        <v>2</v>
      </c>
      <c r="C9" s="40">
        <f>B9*8</f>
        <v/>
      </c>
      <c r="D9" s="41">
        <f>C9*$B$2</f>
        <v/>
      </c>
      <c r="E9" s="26" t="inlineStr">
        <is>
          <t>Customer portal embed</t>
        </is>
      </c>
    </row>
    <row r="10" ht="18" customHeight="1">
      <c r="A10" s="37" t="inlineStr">
        <is>
          <t>End-to-end auth + payment testing</t>
        </is>
      </c>
      <c r="B10" s="38" t="n">
        <v>2</v>
      </c>
      <c r="C10" s="38">
        <f>B10*8</f>
        <v/>
      </c>
      <c r="D10" s="39">
        <f>C10*$B$2</f>
        <v/>
      </c>
      <c r="E10" s="37" t="inlineStr">
        <is>
          <t>Playwright tests</t>
        </is>
      </c>
    </row>
    <row r="11" ht="20" customHeight="1">
      <c r="A11" s="28" t="inlineStr">
        <is>
          <t>SUBTOTAL — Area 11</t>
        </is>
      </c>
      <c r="B11" s="30">
        <f>SUM(B6:B10)</f>
        <v/>
      </c>
      <c r="C11" s="30">
        <f>SUM(C6:C10)</f>
        <v/>
      </c>
      <c r="D11" s="29">
        <f>SUM(D6:D10)</f>
        <v/>
      </c>
      <c r="E11" s="30" t="inlineStr"/>
    </row>
    <row r="13" ht="22" customHeight="1">
      <c r="A13" s="42" t="inlineStr">
        <is>
          <t>Area 7: LoRA Style Blending (Replicate API + Style Library)</t>
        </is>
      </c>
      <c r="B13" s="43" t="n"/>
      <c r="C13" s="43" t="n"/>
      <c r="D13" s="43" t="n"/>
      <c r="E13" s="43" t="n"/>
    </row>
    <row r="14">
      <c r="A14" s="6" t="inlineStr">
        <is>
          <t>Task</t>
        </is>
      </c>
      <c r="B14" s="6" t="inlineStr">
        <is>
          <t>Days</t>
        </is>
      </c>
      <c r="C14" s="6" t="inlineStr">
        <is>
          <t>Hours</t>
        </is>
      </c>
      <c r="D14" s="6" t="inlineStr">
        <is>
          <t>Cost (£)</t>
        </is>
      </c>
      <c r="E14" s="6" t="inlineStr">
        <is>
          <t>Notes</t>
        </is>
      </c>
    </row>
    <row r="15" ht="18" customHeight="1">
      <c r="A15" s="37" t="inlineStr">
        <is>
          <t>Style library schema + 10 seed styles</t>
        </is>
      </c>
      <c r="B15" s="38" t="n">
        <v>2</v>
      </c>
      <c r="C15" s="38">
        <f>B15*8</f>
        <v/>
      </c>
      <c r="D15" s="39">
        <f>C15*$B$2</f>
        <v/>
      </c>
      <c r="E15" s="37" t="inlineStr">
        <is>
          <t>styleLibrary.js, JSON definitions</t>
        </is>
      </c>
    </row>
    <row r="16" ht="18" customHeight="1">
      <c r="A16" s="26" t="inlineStr">
        <is>
          <t>loraTrainingService.js — trigger + poll Replicate</t>
        </is>
      </c>
      <c r="B16" s="40" t="n">
        <v>3</v>
      </c>
      <c r="C16" s="40">
        <f>B16*8</f>
        <v/>
      </c>
      <c r="D16" s="41">
        <f>C16*$B$2</f>
        <v/>
      </c>
      <c r="E16" s="26" t="inlineStr">
        <is>
          <t>Replicate API, webhook callback</t>
        </is>
      </c>
    </row>
    <row r="17" ht="18" customHeight="1">
      <c r="A17" s="37" t="inlineStr">
        <is>
          <t>Portfolio upload → style extraction pipeline</t>
        </is>
      </c>
      <c r="B17" s="38" t="n">
        <v>3</v>
      </c>
      <c r="C17" s="38">
        <f>B17*8</f>
        <v/>
      </c>
      <c r="D17" s="39">
        <f>C17*$B$2</f>
        <v/>
      </c>
      <c r="E17" s="37" t="inlineStr">
        <is>
          <t>Image → LoRA training job</t>
        </is>
      </c>
    </row>
    <row r="18" ht="18" customHeight="1">
      <c r="A18" s="26" t="inlineStr">
        <is>
          <t>React UI: style picker + blend slider</t>
        </is>
      </c>
      <c r="B18" s="40" t="n">
        <v>2</v>
      </c>
      <c r="C18" s="40">
        <f>B18*8</f>
        <v/>
      </c>
      <c r="D18" s="41">
        <f>C18*$B$2</f>
        <v/>
      </c>
      <c r="E18" s="26" t="inlineStr">
        <is>
          <t>ArchitectAIWizard step 4</t>
        </is>
      </c>
    </row>
    <row r="19" ht="18" customHeight="1">
      <c r="A19" s="37" t="inlineStr">
        <is>
          <t>LoRA inference integration into FLUX pipeline</t>
        </is>
      </c>
      <c r="B19" s="38" t="n">
        <v>2</v>
      </c>
      <c r="C19" s="38">
        <f>B19*8</f>
        <v/>
      </c>
      <c r="D19" s="39">
        <f>C19*$B$2</f>
        <v/>
      </c>
      <c r="E19" s="37" t="inlineStr">
        <is>
          <t>loraWeightUrl injection</t>
        </is>
      </c>
    </row>
    <row r="20" ht="18" customHeight="1">
      <c r="A20" s="26" t="inlineStr">
        <is>
          <t>Testing + style consistency validation</t>
        </is>
      </c>
      <c r="B20" s="40" t="n">
        <v>2</v>
      </c>
      <c r="C20" s="40">
        <f>B20*8</f>
        <v/>
      </c>
      <c r="D20" s="41">
        <f>C20*$B$2</f>
        <v/>
      </c>
      <c r="E20" s="26" t="inlineStr">
        <is>
          <t>pHash comparison</t>
        </is>
      </c>
    </row>
    <row r="21" ht="20" customHeight="1">
      <c r="A21" s="44" t="inlineStr">
        <is>
          <t>SUBTOTAL — Area 7</t>
        </is>
      </c>
      <c r="B21" s="45">
        <f>SUM(B15:B20)</f>
        <v/>
      </c>
      <c r="C21" s="45">
        <f>SUM(C15:C20)</f>
        <v/>
      </c>
      <c r="D21" s="46">
        <f>SUM(D15:D20)</f>
        <v/>
      </c>
      <c r="E21" s="45" t="inlineStr"/>
    </row>
    <row r="23" ht="22" customHeight="1">
      <c r="A23" s="47" t="inlineStr">
        <is>
          <t>Area 6: Blender Docker / Modal.com GPU Renders</t>
        </is>
      </c>
      <c r="B23" s="48" t="n"/>
      <c r="C23" s="48" t="n"/>
      <c r="D23" s="48" t="n"/>
      <c r="E23" s="48" t="n"/>
    </row>
    <row r="24">
      <c r="A24" s="6" t="inlineStr">
        <is>
          <t>Task</t>
        </is>
      </c>
      <c r="B24" s="6" t="inlineStr">
        <is>
          <t>Days</t>
        </is>
      </c>
      <c r="C24" s="6" t="inlineStr">
        <is>
          <t>Hours</t>
        </is>
      </c>
      <c r="D24" s="6" t="inlineStr">
        <is>
          <t>Cost (£)</t>
        </is>
      </c>
      <c r="E24" s="6" t="inlineStr">
        <is>
          <t>Notes</t>
        </is>
      </c>
    </row>
    <row r="25" ht="18" customHeight="1">
      <c r="A25" s="37" t="inlineStr">
        <is>
          <t>Modal.com account setup + GPU function scaffold</t>
        </is>
      </c>
      <c r="B25" s="38" t="n">
        <v>1</v>
      </c>
      <c r="C25" s="38">
        <f>B25*8</f>
        <v/>
      </c>
      <c r="D25" s="39">
        <f>C25*$B$2</f>
        <v/>
      </c>
      <c r="E25" s="37" t="inlineStr">
        <is>
          <t>modal deploy, GPU stub</t>
        </is>
      </c>
    </row>
    <row r="26" ht="18" customHeight="1">
      <c r="A26" s="26" t="inlineStr">
        <is>
          <t>Blender headless Python script (bpy render)</t>
        </is>
      </c>
      <c r="B26" s="40" t="n">
        <v>3</v>
      </c>
      <c r="C26" s="40">
        <f>B26*8</f>
        <v/>
      </c>
      <c r="D26" s="41">
        <f>C26*$B$2</f>
        <v/>
      </c>
      <c r="E26" s="26" t="inlineStr">
        <is>
          <t>Camera angles, materials, HDRI</t>
        </is>
      </c>
    </row>
    <row r="27" ht="18" customHeight="1">
      <c r="A27" s="37" t="inlineStr">
        <is>
          <t>ArchiAI DNA → Blender scene builder</t>
        </is>
      </c>
      <c r="B27" s="38" t="n">
        <v>3</v>
      </c>
      <c r="C27" s="38">
        <f>B27*8</f>
        <v/>
      </c>
      <c r="D27" s="39">
        <f>C27*$B$2</f>
        <v/>
      </c>
      <c r="E27" s="37" t="inlineStr">
        <is>
          <t>DNA JSON → bpy objects</t>
        </is>
      </c>
    </row>
    <row r="28" customHeight="1">
      <c r="A28" s="26" t="inlineStr">
        <is>
          <t>api/blender-render.js service wrapper</t>
        </is>
      </c>
      <c r="B28" s="41">
        <f>D11+D21+D31+D41</f>
        <v/>
      </c>
      <c r="C28" s="40">
        <f>B28*8</f>
        <v/>
      </c>
      <c r="D28" s="41">
        <f>C28*$B$2</f>
        <v/>
      </c>
      <c r="E28" s="26" t="inlineStr">
        <is>
          <t>REST endpoint + polling</t>
        </is>
      </c>
    </row>
    <row r="29" ht="18" customHeight="1">
      <c r="A29" s="37" t="inlineStr">
        <is>
          <t>React UI: 3D render toggle in Results step</t>
        </is>
      </c>
      <c r="B29" s="38" t="n">
        <v>2</v>
      </c>
      <c r="C29" s="38">
        <f>B29*8</f>
        <v/>
      </c>
      <c r="D29" s="39">
        <f>C29*$B$2</f>
        <v/>
      </c>
      <c r="E29" s="37" t="inlineStr">
        <is>
          <t>Async render progress bar</t>
        </is>
      </c>
    </row>
    <row r="30" ht="18" customHeight="1">
      <c r="A30" s="26" t="inlineStr">
        <is>
          <t>Docker image + CI/CD deployment</t>
        </is>
      </c>
      <c r="B30" s="40" t="n">
        <v>1</v>
      </c>
      <c r="C30" s="40">
        <f>B30*8</f>
        <v/>
      </c>
      <c r="D30" s="41">
        <f>C30*$B$2</f>
        <v/>
      </c>
      <c r="E30" s="26" t="inlineStr">
        <is>
          <t>GitHub Actions → Modal</t>
        </is>
      </c>
    </row>
    <row r="31" ht="20" customHeight="1">
      <c r="A31" s="49" t="inlineStr">
        <is>
          <t>SUBTOTAL — Area 6</t>
        </is>
      </c>
      <c r="B31" s="50">
        <f>SUM(B25:B30)</f>
        <v/>
      </c>
      <c r="C31" s="50">
        <f>SUM(C25:C30)</f>
        <v/>
      </c>
      <c r="D31" s="51">
        <f>SUM(D25:D30)</f>
        <v/>
      </c>
      <c r="E31" s="50" t="inlineStr"/>
    </row>
    <row r="33" ht="22" customHeight="1">
      <c r="A33" s="52" t="inlineStr">
        <is>
          <t>Area 8: ControlNet SDXL Pipeline (ComfyUI + Replicate)</t>
        </is>
      </c>
      <c r="B33" s="53" t="n"/>
      <c r="C33" s="53" t="n"/>
      <c r="D33" s="53" t="n"/>
      <c r="E33" s="53" t="n"/>
    </row>
    <row r="34">
      <c r="A34" s="6" t="inlineStr">
        <is>
          <t>Task</t>
        </is>
      </c>
      <c r="B34" s="6" t="inlineStr">
        <is>
          <t>Days</t>
        </is>
      </c>
      <c r="C34" s="6" t="inlineStr">
        <is>
          <t>Hours</t>
        </is>
      </c>
      <c r="D34" s="6" t="inlineStr">
        <is>
          <t>Cost (£)</t>
        </is>
      </c>
      <c r="E34" s="6" t="inlineStr">
        <is>
          <t>Notes</t>
        </is>
      </c>
    </row>
    <row r="35" ht="18" customHeight="1">
      <c r="A35" s="37" t="inlineStr">
        <is>
          <t>controlNetService.js wrapper (Canny + Depth)</t>
        </is>
      </c>
      <c r="B35" s="38" t="n">
        <v>2</v>
      </c>
      <c r="C35" s="38">
        <f>B35*8</f>
        <v/>
      </c>
      <c r="D35" s="39">
        <f>C35*$B$2</f>
        <v/>
      </c>
      <c r="E35" s="37" t="inlineStr">
        <is>
          <t>Replicate ControlNet endpoints</t>
        </is>
      </c>
    </row>
    <row r="36" ht="18" customHeight="1">
      <c r="A36" s="26" t="inlineStr">
        <is>
          <t>ComfyUI workflow JSON for SDXL + ControlNet</t>
        </is>
      </c>
      <c r="B36" s="40" t="n">
        <v>3</v>
      </c>
      <c r="C36" s="40">
        <f>B36*8</f>
        <v/>
      </c>
      <c r="D36" s="41">
        <f>C36*$B$2</f>
        <v/>
      </c>
      <c r="E36" s="26" t="inlineStr">
        <is>
          <t>Canny edge, depth map conditioning</t>
        </is>
      </c>
    </row>
    <row r="37" ht="18" customHeight="1">
      <c r="A37" s="37" t="inlineStr">
        <is>
          <t>Depth map extraction from Three.js geometry</t>
        </is>
      </c>
      <c r="B37" s="38" t="n">
        <v>2</v>
      </c>
      <c r="C37" s="38">
        <f>B37*8</f>
        <v/>
      </c>
      <c r="D37" s="39">
        <f>C37*$B$2</f>
        <v/>
      </c>
      <c r="E37" s="37" t="inlineStr">
        <is>
          <t>Three.js depth buffer → PNG</t>
        </is>
      </c>
    </row>
    <row r="38" ht="18" customHeight="1">
      <c r="A38" s="26" t="inlineStr">
        <is>
          <t>Integration into A1 sheet generation pipeline</t>
        </is>
      </c>
      <c r="B38" s="40" t="n">
        <v>3</v>
      </c>
      <c r="C38" s="40">
        <f>B38*8</f>
        <v/>
      </c>
      <c r="D38" s="41">
        <f>C38*$B$2</f>
        <v/>
      </c>
      <c r="E38" s="26" t="inlineStr">
        <is>
          <t>Replace FLUX for technical views</t>
        </is>
      </c>
    </row>
    <row r="39" ht="18" customHeight="1">
      <c r="A39" s="37" t="inlineStr">
        <is>
          <t>Quality comparison: ControlNet vs FLUX baseline</t>
        </is>
      </c>
      <c r="B39" s="38" t="n">
        <v>1</v>
      </c>
      <c r="C39" s="38">
        <f>B39*8</f>
        <v/>
      </c>
      <c r="D39" s="39">
        <f>C39*$B$2</f>
        <v/>
      </c>
      <c r="E39" s="37" t="inlineStr">
        <is>
          <t>pHash/SSIM scoring</t>
        </is>
      </c>
    </row>
    <row r="40" ht="18" customHeight="1">
      <c r="A40" s="26" t="inlineStr">
        <is>
          <t>End-to-end pipeline testing</t>
        </is>
      </c>
      <c r="B40" s="40" t="n">
        <v>1</v>
      </c>
      <c r="C40" s="40">
        <f>B40*8</f>
        <v/>
      </c>
      <c r="D40" s="41">
        <f>C40*$B$2</f>
        <v/>
      </c>
      <c r="E40" s="26" t="inlineStr">
        <is>
          <t>10 design test runs</t>
        </is>
      </c>
    </row>
    <row r="41" ht="20" customHeight="1">
      <c r="A41" s="54" t="inlineStr">
        <is>
          <t>SUBTOTAL — Area 8</t>
        </is>
      </c>
      <c r="B41" s="55">
        <f>SUM(B35:B40)</f>
        <v/>
      </c>
      <c r="C41" s="55">
        <f>SUM(C35:C40)</f>
        <v/>
      </c>
      <c r="D41" s="56">
        <f>SUM(D35:D40)</f>
        <v/>
      </c>
      <c r="E41" s="55" t="inlineStr"/>
    </row>
    <row r="43" ht="24" customHeight="1">
      <c r="A43" s="57" t="inlineStr">
        <is>
          <t>TOTAL BUILD COST — ALL 4 AREAS</t>
        </is>
      </c>
      <c r="B43" s="58" t="inlineStr"/>
      <c r="C43" s="58" t="inlineStr"/>
      <c r="D43" s="59">
        <f>D11+D21+D31+D41</f>
        <v/>
      </c>
      <c r="E43" s="58" t="inlineStr">
        <is>
          <t>Complete 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30" customWidth="1" min="5" max="5"/>
  </cols>
  <sheetData>
    <row r="1" ht="36" customHeight="1">
      <c r="A1" s="31" t="inlineStr">
        <is>
          <t>Monthly Running Costs — API &amp; Infrastructure</t>
        </is>
      </c>
      <c r="B1" s="2" t="n"/>
      <c r="C1" s="2" t="n"/>
      <c r="D1" s="2" t="n"/>
      <c r="E1" s="2" t="n"/>
    </row>
    <row r="2" ht="18" customHeight="1">
      <c r="A2" s="32" t="inlineStr">
        <is>
          <t>Active Users Assumption:</t>
        </is>
      </c>
      <c r="B2" s="60" t="n">
        <v>100</v>
      </c>
      <c r="C2" s="34" t="inlineStr">
        <is>
          <t>users/month (adjust B2 to scale)</t>
        </is>
      </c>
    </row>
    <row r="4" ht="22" customHeight="1">
      <c r="A4" s="6" t="inlineStr">
        <is>
          <t>Service / API</t>
        </is>
      </c>
      <c r="B4" s="6" t="inlineStr">
        <is>
          <t>Cost per User/Month</t>
        </is>
      </c>
      <c r="C4" s="6" t="inlineStr">
        <is>
          <t>Monthly Total (£)</t>
        </is>
      </c>
      <c r="D4" s="6" t="inlineStr">
        <is>
          <t>Annual Total (£)</t>
        </is>
      </c>
      <c r="E4" s="6" t="inlineStr">
        <is>
          <t>Notes</t>
        </is>
      </c>
    </row>
    <row r="5" ht="20" customHeight="1">
      <c r="A5" s="23" t="inlineStr">
        <is>
          <t>Together.ai — FLUX.1-dev (image gen)</t>
        </is>
      </c>
      <c r="B5" s="61">
        <f>0.06</f>
        <v/>
      </c>
      <c r="C5" s="61">
        <f>B5*$B$2</f>
        <v/>
      </c>
      <c r="D5" s="61">
        <f>C5*12</f>
        <v/>
      </c>
      <c r="E5" s="23" t="inlineStr">
        <is>
          <t>£0.06 per design (~3 API calls)</t>
        </is>
      </c>
    </row>
    <row r="6" ht="20" customHeight="1">
      <c r="A6" s="26" t="inlineStr">
        <is>
          <t>Together.ai — Qwen 2.5-72B (reasoning)</t>
        </is>
      </c>
      <c r="B6" s="62">
        <f>0.02</f>
        <v/>
      </c>
      <c r="C6" s="62">
        <f>B6*$B$2</f>
        <v/>
      </c>
      <c r="D6" s="62">
        <f>C6*12</f>
        <v/>
      </c>
      <c r="E6" s="26" t="inlineStr">
        <is>
          <t>£0.02 per design (DNA gen)</t>
        </is>
      </c>
    </row>
    <row r="7" ht="20" customHeight="1">
      <c r="A7" s="7" t="inlineStr">
        <is>
          <t>Together.ai — Total (subtotal)</t>
        </is>
      </c>
      <c r="B7" s="63">
        <f>B5+B6</f>
        <v/>
      </c>
      <c r="C7" s="63">
        <f>B7*$B$2</f>
        <v/>
      </c>
      <c r="D7" s="63">
        <f>C7*12</f>
        <v/>
      </c>
      <c r="E7" s="7" t="inlineStr">
        <is>
          <t>Sum of above</t>
        </is>
      </c>
    </row>
    <row r="8" ht="20" customHeight="1">
      <c r="A8" s="23" t="inlineStr">
        <is>
          <t>Replicate — LoRA inference</t>
        </is>
      </c>
      <c r="B8" s="61">
        <f>0.05</f>
        <v/>
      </c>
      <c r="C8" s="61">
        <f>B8*$B$2</f>
        <v/>
      </c>
      <c r="D8" s="61">
        <f>C8*12</f>
        <v/>
      </c>
      <c r="E8" s="23" t="inlineStr">
        <is>
          <t>~50 tokens per render</t>
        </is>
      </c>
    </row>
    <row r="9" ht="20" customHeight="1">
      <c r="A9" s="26" t="inlineStr">
        <is>
          <t>Modal.com — Blender GPU renders</t>
        </is>
      </c>
      <c r="B9" s="62">
        <f>0.10</f>
        <v/>
      </c>
      <c r="C9" s="62">
        <f>B9*$B$2</f>
        <v/>
      </c>
      <c r="D9" s="62">
        <f>C9*12</f>
        <v/>
      </c>
      <c r="E9" s="26" t="inlineStr">
        <is>
          <t>~5 min A100 per render</t>
        </is>
      </c>
    </row>
    <row r="10" ht="20" customHeight="1">
      <c r="A10" s="23" t="inlineStr">
        <is>
          <t>Replicate — ControlNet SDXL</t>
        </is>
      </c>
      <c r="B10" s="61">
        <f>0.04</f>
        <v/>
      </c>
      <c r="C10" s="61">
        <f>B10*$B$2</f>
        <v/>
      </c>
      <c r="D10" s="61">
        <f>C10*12</f>
        <v/>
      </c>
      <c r="E10" s="23" t="inlineStr">
        <is>
          <t>Per technical view</t>
        </is>
      </c>
    </row>
    <row r="11" ht="20" customHeight="1">
      <c r="A11" s="26" t="inlineStr">
        <is>
          <t>Google Maps API</t>
        </is>
      </c>
      <c r="B11" s="62">
        <f>0.005</f>
        <v/>
      </c>
      <c r="C11" s="62">
        <f>B11*$B$2</f>
        <v/>
      </c>
      <c r="D11" s="62">
        <f>C11*12</f>
        <v/>
      </c>
      <c r="E11" s="26" t="inlineStr">
        <is>
          <t>Geocoding + map tiles</t>
        </is>
      </c>
    </row>
    <row r="12" ht="20" customHeight="1">
      <c r="A12" s="23" t="inlineStr">
        <is>
          <t>OpenWeather API</t>
        </is>
      </c>
      <c r="B12" s="61">
        <f>0.001</f>
        <v/>
      </c>
      <c r="C12" s="61">
        <f>B12*$B$2</f>
        <v/>
      </c>
      <c r="D12" s="61">
        <f>C12*12</f>
        <v/>
      </c>
      <c r="E12" s="23" t="inlineStr">
        <is>
          <t>Climate data calls</t>
        </is>
      </c>
    </row>
    <row r="13" ht="20" customHeight="1">
      <c r="A13" s="26" t="inlineStr">
        <is>
          <t>Clerk — Auth</t>
        </is>
      </c>
      <c r="B13" s="62">
        <f>0.00</f>
        <v/>
      </c>
      <c r="C13" s="62">
        <f>B13*$B$2</f>
        <v/>
      </c>
      <c r="D13" s="62">
        <f>C13*12</f>
        <v/>
      </c>
      <c r="E13" s="26" t="inlineStr">
        <is>
          <t>Free up to 10k MAU</t>
        </is>
      </c>
    </row>
    <row r="14" ht="20" customHeight="1">
      <c r="A14" s="23" t="inlineStr">
        <is>
          <t>Supabase — Database</t>
        </is>
      </c>
      <c r="B14" s="61">
        <f>0.025</f>
        <v/>
      </c>
      <c r="C14" s="61">
        <f>B14*$B$2</f>
        <v/>
      </c>
      <c r="D14" s="61">
        <f>C14*12</f>
        <v/>
      </c>
      <c r="E14" s="23" t="inlineStr">
        <is>
          <t>Pro plan ÷ users</t>
        </is>
      </c>
    </row>
    <row r="15" ht="20" customHeight="1">
      <c r="A15" s="26" t="inlineStr">
        <is>
          <t>Vercel — Hosting</t>
        </is>
      </c>
      <c r="B15" s="62">
        <f>0.02</f>
        <v/>
      </c>
      <c r="C15" s="62">
        <f>B15*$B$2</f>
        <v/>
      </c>
      <c r="D15" s="62">
        <f>C15*12</f>
        <v/>
      </c>
      <c r="E15" s="26" t="inlineStr">
        <is>
          <t>Pro plan bandwidth</t>
        </is>
      </c>
    </row>
    <row r="16" ht="20" customHeight="1">
      <c r="A16" s="23" t="inlineStr">
        <is>
          <t>Stripe — Payment processing</t>
        </is>
      </c>
      <c r="B16" s="61">
        <f>0.00</f>
        <v/>
      </c>
      <c r="C16" s="61">
        <f>B16*$B$2</f>
        <v/>
      </c>
      <c r="D16" s="61">
        <f>C16*12</f>
        <v/>
      </c>
      <c r="E16" s="23" t="inlineStr">
        <is>
          <t>2.9%+30p per transaction (variable)</t>
        </is>
      </c>
    </row>
    <row r="17" ht="24" customHeight="1">
      <c r="A17" s="28" t="inlineStr">
        <is>
          <t>TOTAL MONTHLY RUNNING COST</t>
        </is>
      </c>
      <c r="B17" s="64">
        <f>B5+B6+B8+B9+B10+B11+B12+B13+B14+B15+B16</f>
        <v/>
      </c>
      <c r="C17" s="64">
        <f>B17*$B$2</f>
        <v/>
      </c>
      <c r="D17" s="64">
        <f>C17*12</f>
        <v/>
      </c>
      <c r="E17" s="30" t="inlineStr">
        <is>
          <t>Per 100 active users</t>
        </is>
      </c>
    </row>
    <row r="24" customHeight="1">
      <c r="B24" s="65">
        <f>C17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25" customWidth="1" min="5" max="5"/>
  </cols>
  <sheetData>
    <row r="1" ht="36" customHeight="1">
      <c r="A1" s="31" t="inlineStr">
        <is>
          <t>Marketing Budget — 3-Month Launch Plan</t>
        </is>
      </c>
      <c r="B1" s="2" t="n"/>
      <c r="C1" s="2" t="n"/>
      <c r="D1" s="2" t="n"/>
      <c r="E1" s="2" t="n"/>
    </row>
    <row r="3" ht="22" customHeight="1">
      <c r="A3" s="6" t="inlineStr">
        <is>
          <t>Channel</t>
        </is>
      </c>
      <c r="B3" s="6" t="inlineStr">
        <is>
          <t>Month 1 (£)</t>
        </is>
      </c>
      <c r="C3" s="6" t="inlineStr">
        <is>
          <t>Month 2 (£)</t>
        </is>
      </c>
      <c r="D3" s="6" t="inlineStr">
        <is>
          <t>Month 3 (£)</t>
        </is>
      </c>
      <c r="E3" s="6" t="inlineStr">
        <is>
          <t>Strategy</t>
        </is>
      </c>
    </row>
    <row r="4" ht="20" customHeight="1">
      <c r="A4" s="23" t="inlineStr">
        <is>
          <t>Google Ads (Search)</t>
        </is>
      </c>
      <c r="B4" s="66" t="n">
        <v>300</v>
      </c>
      <c r="C4" s="66" t="n">
        <v>400</v>
      </c>
      <c r="D4" s="66" t="n">
        <v>500</v>
      </c>
      <c r="E4" s="23" t="inlineStr">
        <is>
          <t>Target: 'AI architecture tool', 'floor plan generator'</t>
        </is>
      </c>
    </row>
    <row r="5" ht="20" customHeight="1">
      <c r="A5" s="26" t="inlineStr">
        <is>
          <t>LinkedIn Ads</t>
        </is>
      </c>
      <c r="B5" s="41" t="n">
        <v>200</v>
      </c>
      <c r="C5" s="41" t="n">
        <v>300</v>
      </c>
      <c r="D5" s="41" t="n">
        <v>350</v>
      </c>
      <c r="E5" s="26" t="inlineStr">
        <is>
          <t>Target: Architects, urban planners, developers</t>
        </is>
      </c>
    </row>
    <row r="6" ht="20" customHeight="1">
      <c r="A6" s="23" t="inlineStr">
        <is>
          <t>Instagram / Meta Ads</t>
        </is>
      </c>
      <c r="B6" s="66" t="n">
        <v>150</v>
      </c>
      <c r="C6" s="66" t="n">
        <v>200</v>
      </c>
      <c r="D6" s="66" t="n">
        <v>250</v>
      </c>
      <c r="E6" s="23" t="inlineStr">
        <is>
          <t>Portfolio-style image carousel ads</t>
        </is>
      </c>
    </row>
    <row r="7" ht="20" customHeight="1">
      <c r="A7" s="26" t="inlineStr">
        <is>
          <t>Content Creation</t>
        </is>
      </c>
      <c r="B7" s="41" t="n">
        <v>100</v>
      </c>
      <c r="C7" s="41" t="n">
        <v>150</v>
      </c>
      <c r="D7" s="41" t="n">
        <v>150</v>
      </c>
      <c r="E7" s="26" t="inlineStr">
        <is>
          <t>Blog posts, LinkedIn articles, YouTube tutorials</t>
        </is>
      </c>
    </row>
    <row r="8" ht="20" customHeight="1">
      <c r="A8" s="23" t="inlineStr">
        <is>
          <t>Architecture Forum Outreach</t>
        </is>
      </c>
      <c r="B8" s="66" t="n">
        <v>50</v>
      </c>
      <c r="C8" s="66" t="n">
        <v>50</v>
      </c>
      <c r="D8" s="66" t="n">
        <v>50</v>
      </c>
      <c r="E8" s="23" t="inlineStr">
        <is>
          <t>ArchDaily, Dezeen, Reddit r/architecture</t>
        </is>
      </c>
    </row>
    <row r="9" ht="20" customHeight="1">
      <c r="A9" s="26" t="inlineStr">
        <is>
          <t>Email Marketing (ConvertKit)</t>
        </is>
      </c>
      <c r="B9" s="41" t="n">
        <v>30</v>
      </c>
      <c r="C9" s="41" t="n">
        <v>30</v>
      </c>
      <c r="D9" s="41" t="n">
        <v>30</v>
      </c>
      <c r="E9" s="26" t="inlineStr">
        <is>
          <t>Nurture sequence for trial users</t>
        </is>
      </c>
    </row>
    <row r="10" ht="20" customHeight="1">
      <c r="A10" s="23" t="inlineStr">
        <is>
          <t>Influencer / KOL (architects)</t>
        </is>
      </c>
      <c r="B10" s="66" t="n">
        <v>200</v>
      </c>
      <c r="C10" s="66" t="n">
        <v>300</v>
      </c>
      <c r="D10" s="66" t="n">
        <v>300</v>
      </c>
      <c r="E10" s="23" t="inlineStr">
        <is>
          <t>2-3 architect influencers on Instagram/YouTube</t>
        </is>
      </c>
    </row>
    <row r="11" ht="20" customHeight="1">
      <c r="A11" s="26" t="inlineStr">
        <is>
          <t>Free Trial Incentives</t>
        </is>
      </c>
      <c r="B11" s="41" t="n">
        <v>100</v>
      </c>
      <c r="C11" s="41" t="n">
        <v>100</v>
      </c>
      <c r="D11" s="41" t="n">
        <v>0</v>
      </c>
      <c r="E11" s="26" t="inlineStr">
        <is>
          <t>First 50 users get 5 free generations</t>
        </is>
      </c>
    </row>
    <row r="12" ht="20" customHeight="1">
      <c r="A12" s="23" t="inlineStr">
        <is>
          <t>SEO / Technical content</t>
        </is>
      </c>
      <c r="B12" s="66" t="n">
        <v>100</v>
      </c>
      <c r="C12" s="66" t="n">
        <v>100</v>
      </c>
      <c r="D12" s="66" t="n">
        <v>50</v>
      </c>
      <c r="E12" s="23" t="inlineStr">
        <is>
          <t>Keyword-optimised landing pages</t>
        </is>
      </c>
    </row>
    <row r="13" ht="20" customHeight="1">
      <c r="A13" s="26" t="inlineStr">
        <is>
          <t>PR / Press releases</t>
        </is>
      </c>
      <c r="B13" s="41" t="n">
        <v>100</v>
      </c>
      <c r="C13" s="41" t="n">
        <v>50</v>
      </c>
      <c r="D13" s="41" t="n">
        <v>50</v>
      </c>
      <c r="E13" s="26" t="inlineStr">
        <is>
          <t>ArchDaily, Dezeen, Wired outreach</t>
        </is>
      </c>
    </row>
    <row r="14" ht="24" customHeight="1">
      <c r="A14" s="28" t="inlineStr">
        <is>
          <t>TOTAL MARKETING SPEND</t>
        </is>
      </c>
      <c r="B14" s="29">
        <f>SUM(B4:B13)</f>
        <v/>
      </c>
      <c r="C14" s="29">
        <f>SUM(C4:C13)</f>
        <v/>
      </c>
      <c r="D14" s="29">
        <f>SUM(D4:D13)</f>
        <v/>
      </c>
      <c r="E14" s="67">
        <f>B14+C14+D14</f>
        <v/>
      </c>
    </row>
    <row r="20" customHeight="1">
      <c r="B20" s="65">
        <f>B14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</cols>
  <sheetData>
    <row r="1" ht="36" customHeight="1">
      <c r="A1" s="31" t="inlineStr">
        <is>
          <t>12-Month Break-Even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3" ht="20" customHeight="1">
      <c r="A3" s="68" t="inlineStr">
        <is>
          <t>PRICING ASSUMPTIONS (edit yellow cells)</t>
        </is>
      </c>
      <c r="B3" s="69" t="n"/>
      <c r="C3" s="69" t="n"/>
      <c r="D3" s="69" t="n"/>
      <c r="E3" s="69" t="n"/>
    </row>
    <row r="4" ht="18" customHeight="1">
      <c r="A4" s="23" t="inlineStr">
        <is>
          <t>Free tier users</t>
        </is>
      </c>
      <c r="B4" s="70" t="n">
        <v>200</v>
      </c>
      <c r="C4" s="71" t="inlineStr">
        <is>
          <t>No revenue</t>
        </is>
      </c>
    </row>
    <row r="5" ht="18" customHeight="1">
      <c r="A5" s="23" t="inlineStr">
        <is>
          <t>Pro plan users (£29/mo)</t>
        </is>
      </c>
      <c r="B5" s="70" t="n">
        <v>40</v>
      </c>
      <c r="C5" s="71" t="inlineStr">
        <is>
          <t>Main revenue driver</t>
        </is>
      </c>
    </row>
    <row r="6" ht="18" customHeight="1">
      <c r="A6" s="23" t="inlineStr">
        <is>
          <t>Studio plan users (£99/mo)</t>
        </is>
      </c>
      <c r="B6" s="70" t="n">
        <v>8</v>
      </c>
      <c r="C6" s="71" t="inlineStr">
        <is>
          <t>Power users / agencies</t>
        </is>
      </c>
    </row>
    <row r="7" ht="18" customHeight="1">
      <c r="A7" s="23" t="inlineStr">
        <is>
          <t>Churn rate (monthly %)</t>
        </is>
      </c>
      <c r="B7" s="72" t="n">
        <v>0.05</v>
      </c>
      <c r="C7" s="71" t="inlineStr">
        <is>
          <t>5% monthly churn</t>
        </is>
      </c>
    </row>
    <row r="8" ht="18" customHeight="1">
      <c r="A8" s="23" t="inlineStr">
        <is>
          <t>Monthly growth rate</t>
        </is>
      </c>
      <c r="B8" s="72" t="n">
        <v>0.15</v>
      </c>
      <c r="C8" s="71" t="inlineStr">
        <is>
          <t>15% MoM user growth</t>
        </is>
      </c>
    </row>
    <row r="10" ht="22" customHeight="1">
      <c r="A10" s="73" t="inlineStr"/>
      <c r="B10" s="6" t="inlineStr">
        <is>
          <t>Month 1</t>
        </is>
      </c>
      <c r="C10" s="6" t="inlineStr">
        <is>
          <t>Month 2</t>
        </is>
      </c>
      <c r="D10" s="6" t="inlineStr">
        <is>
          <t>Month 3</t>
        </is>
      </c>
      <c r="E10" s="6" t="inlineStr">
        <is>
          <t>Month 4</t>
        </is>
      </c>
      <c r="F10" s="6" t="inlineStr">
        <is>
          <t>Month 5</t>
        </is>
      </c>
      <c r="G10" s="6" t="inlineStr">
        <is>
          <t>Month 6</t>
        </is>
      </c>
      <c r="H10" s="6" t="inlineStr">
        <is>
          <t>Month 7</t>
        </is>
      </c>
      <c r="I10" s="6" t="inlineStr">
        <is>
          <t>Month 8</t>
        </is>
      </c>
      <c r="J10" s="6" t="inlineStr">
        <is>
          <t>Month 9</t>
        </is>
      </c>
      <c r="K10" s="6" t="inlineStr">
        <is>
          <t>Month 10</t>
        </is>
      </c>
      <c r="L10" s="6" t="inlineStr">
        <is>
          <t>Month 11</t>
        </is>
      </c>
      <c r="M10" s="6" t="inlineStr">
        <is>
          <t>Month 12</t>
        </is>
      </c>
      <c r="N10" s="73" t="inlineStr">
        <is>
          <t>Total</t>
        </is>
      </c>
    </row>
    <row r="11" ht="20" customHeight="1">
      <c r="A11" s="68" t="inlineStr">
        <is>
          <t>Pro Users (count)</t>
        </is>
      </c>
      <c r="B11" s="74">
        <f>$B$4</f>
        <v/>
      </c>
      <c r="C11" s="74">
        <f>B11*(1+$B$8)*(1-$B$7)</f>
        <v/>
      </c>
      <c r="D11" s="74">
        <f>C11*(1+$B$8)*(1-$B$7)</f>
        <v/>
      </c>
      <c r="E11" s="74">
        <f>D11*(1+$B$8)*(1-$B$7)</f>
        <v/>
      </c>
      <c r="F11" s="74">
        <f>E11*(1+$B$8)*(1-$B$7)</f>
        <v/>
      </c>
      <c r="G11" s="74">
        <f>F11*(1+$B$8)*(1-$B$7)</f>
        <v/>
      </c>
      <c r="H11" s="74">
        <f>G11*(1+$B$8)*(1-$B$7)</f>
        <v/>
      </c>
      <c r="I11" s="74">
        <f>H11*(1+$B$8)*(1-$B$7)</f>
        <v/>
      </c>
      <c r="J11" s="74">
        <f>I11*(1+$B$8)*(1-$B$7)</f>
        <v/>
      </c>
      <c r="K11" s="74">
        <f>J11*(1+$B$8)*(1-$B$7)</f>
        <v/>
      </c>
      <c r="L11" s="74">
        <f>K11*(1+$B$8)*(1-$B$7)</f>
        <v/>
      </c>
      <c r="M11" s="74">
        <f>L11*(1+$B$8)*(1-$B$7)</f>
        <v/>
      </c>
      <c r="N11" s="75">
        <f>M11</f>
        <v/>
      </c>
    </row>
    <row r="12" ht="20" customHeight="1">
      <c r="A12" s="68" t="inlineStr">
        <is>
          <t>Studio Users (count)</t>
        </is>
      </c>
      <c r="B12" s="76">
        <f>$B$5</f>
        <v/>
      </c>
      <c r="C12" s="76">
        <f>B12*(1+$B$8)*(1-$B$7)</f>
        <v/>
      </c>
      <c r="D12" s="76">
        <f>C12*(1+$B$8)*(1-$B$7)</f>
        <v/>
      </c>
      <c r="E12" s="76">
        <f>D12*(1+$B$8)*(1-$B$7)</f>
        <v/>
      </c>
      <c r="F12" s="76">
        <f>E12*(1+$B$8)*(1-$B$7)</f>
        <v/>
      </c>
      <c r="G12" s="76">
        <f>F12*(1+$B$8)*(1-$B$7)</f>
        <v/>
      </c>
      <c r="H12" s="76">
        <f>G12*(1+$B$8)*(1-$B$7)</f>
        <v/>
      </c>
      <c r="I12" s="76">
        <f>H12*(1+$B$8)*(1-$B$7)</f>
        <v/>
      </c>
      <c r="J12" s="76">
        <f>I12*(1+$B$8)*(1-$B$7)</f>
        <v/>
      </c>
      <c r="K12" s="76">
        <f>J12*(1+$B$8)*(1-$B$7)</f>
        <v/>
      </c>
      <c r="L12" s="76">
        <f>K12*(1+$B$8)*(1-$B$7)</f>
        <v/>
      </c>
      <c r="M12" s="76">
        <f>L12*(1+$B$8)*(1-$B$7)</f>
        <v/>
      </c>
      <c r="N12" s="77">
        <f>M12</f>
        <v/>
      </c>
    </row>
    <row r="13" ht="20" customHeight="1">
      <c r="A13" s="68" t="inlineStr">
        <is>
          <t>Gross Revenue (£)</t>
        </is>
      </c>
      <c r="B13" s="78">
        <f>ROUND(B11*29+B12*99,0)</f>
        <v/>
      </c>
      <c r="C13" s="78">
        <f>ROUND(C11*29+C12*99,0)</f>
        <v/>
      </c>
      <c r="D13" s="78">
        <f>ROUND(D11*29+D12*99,0)</f>
        <v/>
      </c>
      <c r="E13" s="78">
        <f>ROUND(E11*29+E12*99,0)</f>
        <v/>
      </c>
      <c r="F13" s="78">
        <f>ROUND(F11*29+F12*99,0)</f>
        <v/>
      </c>
      <c r="G13" s="78">
        <f>ROUND(G11*29+G12*99,0)</f>
        <v/>
      </c>
      <c r="H13" s="78">
        <f>ROUND(H11*29+H12*99,0)</f>
        <v/>
      </c>
      <c r="I13" s="78">
        <f>ROUND(I11*29+I12*99,0)</f>
        <v/>
      </c>
      <c r="J13" s="78">
        <f>ROUND(J11*29+J12*99,0)</f>
        <v/>
      </c>
      <c r="K13" s="78">
        <f>ROUND(K11*29+K12*99,0)</f>
        <v/>
      </c>
      <c r="L13" s="78">
        <f>ROUND(L11*29+L12*99,0)</f>
        <v/>
      </c>
      <c r="M13" s="78">
        <f>ROUND(M11*29+M12*99,0)</f>
        <v/>
      </c>
      <c r="N13" s="79">
        <f>SUM(B13:M13)</f>
        <v/>
      </c>
    </row>
    <row r="14" ht="20" customHeight="1">
      <c r="A14" s="68" t="inlineStr">
        <is>
          <t>Running Costs (£)</t>
        </is>
      </c>
      <c r="B14" s="80">
        <f>ROUND((B11+B12+$B$3)*0.27,0)</f>
        <v/>
      </c>
      <c r="C14" s="80">
        <f>ROUND((C11+C12+$B$3)*0.27,0)</f>
        <v/>
      </c>
      <c r="D14" s="80">
        <f>ROUND((D11+D12+$B$3)*0.27,0)</f>
        <v/>
      </c>
      <c r="E14" s="80">
        <f>ROUND((E11+E12+$B$3)*0.27,0)</f>
        <v/>
      </c>
      <c r="F14" s="80">
        <f>ROUND((F11+F12+$B$3)*0.27,0)</f>
        <v/>
      </c>
      <c r="G14" s="80">
        <f>ROUND((G11+G12+$B$3)*0.27,0)</f>
        <v/>
      </c>
      <c r="H14" s="80">
        <f>ROUND((H11+H12+$B$3)*0.27,0)</f>
        <v/>
      </c>
      <c r="I14" s="80">
        <f>ROUND((I11+I12+$B$3)*0.27,0)</f>
        <v/>
      </c>
      <c r="J14" s="80">
        <f>ROUND((J11+J12+$B$3)*0.27,0)</f>
        <v/>
      </c>
      <c r="K14" s="80">
        <f>ROUND((K11+K12+$B$3)*0.27,0)</f>
        <v/>
      </c>
      <c r="L14" s="80">
        <f>ROUND((L11+L12+$B$3)*0.27,0)</f>
        <v/>
      </c>
      <c r="M14" s="80">
        <f>ROUND((M11+M12+$B$3)*0.27,0)</f>
        <v/>
      </c>
      <c r="N14" s="81">
        <f>SUM(B14:M14)</f>
        <v/>
      </c>
    </row>
    <row r="15" ht="20" customHeight="1">
      <c r="A15" s="68" t="inlineStr">
        <is>
          <t>Marketing Spend (£)</t>
        </is>
      </c>
      <c r="B15" s="82">
        <f>'Marketing'!B14</f>
        <v/>
      </c>
      <c r="C15" s="82">
        <f>'Marketing'!C14</f>
        <v/>
      </c>
      <c r="D15" s="82">
        <f>'Marketing'!D14</f>
        <v/>
      </c>
      <c r="E15" s="82" t="n">
        <v>200</v>
      </c>
      <c r="F15" s="82" t="n">
        <v>200</v>
      </c>
      <c r="G15" s="82" t="n">
        <v>200</v>
      </c>
      <c r="H15" s="82" t="n">
        <v>200</v>
      </c>
      <c r="I15" s="82" t="n">
        <v>200</v>
      </c>
      <c r="J15" s="82" t="n">
        <v>200</v>
      </c>
      <c r="K15" s="82" t="n">
        <v>200</v>
      </c>
      <c r="L15" s="82" t="n">
        <v>200</v>
      </c>
      <c r="M15" s="82" t="n">
        <v>200</v>
      </c>
      <c r="N15" s="25">
        <f>SUM(B15:M15)</f>
        <v/>
      </c>
    </row>
    <row r="16" ht="20" customHeight="1">
      <c r="A16" s="68" t="inlineStr">
        <is>
          <t>Net Profit / Loss (£)</t>
        </is>
      </c>
      <c r="B16" s="83">
        <f>MATCH(TRUE,INDEX(B17:M17&gt;0,0),0)</f>
        <v/>
      </c>
      <c r="C16" s="39">
        <f>C13-C14-C15</f>
        <v/>
      </c>
      <c r="D16" s="39">
        <f>D13-D14-D15</f>
        <v/>
      </c>
      <c r="E16" s="39">
        <f>E13-E14-E15</f>
        <v/>
      </c>
      <c r="F16" s="39">
        <f>F13-F14-F15</f>
        <v/>
      </c>
      <c r="G16" s="39">
        <f>G13-G14-G15</f>
        <v/>
      </c>
      <c r="H16" s="39">
        <f>H13-H14-H15</f>
        <v/>
      </c>
      <c r="I16" s="39">
        <f>I13-I14-I15</f>
        <v/>
      </c>
      <c r="J16" s="39">
        <f>J13-J14-J15</f>
        <v/>
      </c>
      <c r="K16" s="39">
        <f>K13-K14-K15</f>
        <v/>
      </c>
      <c r="L16" s="39">
        <f>L13-L14-L15</f>
        <v/>
      </c>
      <c r="M16" s="39">
        <f>M13-M14-M15</f>
        <v/>
      </c>
      <c r="N16" s="84">
        <f>SUM(B16:M16)</f>
        <v/>
      </c>
    </row>
    <row r="17" ht="20" customHeight="1">
      <c r="A17" s="68" t="inlineStr">
        <is>
          <t>Cumulative Cash Flow (£)</t>
        </is>
      </c>
      <c r="B17" s="39">
        <f>B14+B15</f>
        <v/>
      </c>
      <c r="C17" s="39">
        <f>B17+C16</f>
        <v/>
      </c>
      <c r="D17" s="39">
        <f>C17+D16</f>
        <v/>
      </c>
      <c r="E17" s="39">
        <f>D17+E16</f>
        <v/>
      </c>
      <c r="F17" s="39">
        <f>E17+F16</f>
        <v/>
      </c>
      <c r="G17" s="39">
        <f>F17+G16</f>
        <v/>
      </c>
      <c r="H17" s="39">
        <f>G17+H16</f>
        <v/>
      </c>
      <c r="I17" s="39">
        <f>H17+I16</f>
        <v/>
      </c>
      <c r="J17" s="39">
        <f>I17+J16</f>
        <v/>
      </c>
      <c r="K17" s="39">
        <f>J17+K16</f>
        <v/>
      </c>
      <c r="L17" s="39">
        <f>K17+L16</f>
        <v/>
      </c>
      <c r="M17" s="39">
        <f>L17+M16</f>
        <v/>
      </c>
      <c r="N17" s="84">
        <f>M17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2026-04-08T18:52:17Z</dcterms:created>
  <dcterms:modified xmlns:dcterms="http://purl.org/dc/terms/" xmlns:xsi="http://www.w3.org/2001/XMLSchema-instance" xsi:type="dcterms:W3CDTF">2026-04-08T18:52:17Z</dcterms:modified>
</cp:coreProperties>
</file>